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10305" activeTab="1"/>
  </bookViews>
  <sheets>
    <sheet name="Pivot_Calculations" sheetId="2" r:id="rId1"/>
    <sheet name="Executive Summary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\Users\Fundieh\OneDrive\Documents\My Data Sources\LEIGHANNE-88D8O_SQLEXPRESS mining_dashboard Multiple Tables.odc" name="LEIGHANNE-88D8O_SQLEXPRESS mining_dashboard Multiple Tables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<sst xmlns="http://schemas.openxmlformats.org/spreadsheetml/2006/main" count="50" uniqueCount="43">
  <si>
    <t>Row Labels</t>
  </si>
  <si>
    <t>Sum of Ore_Tonnes</t>
  </si>
  <si>
    <t>Sum of Fuel_Litres</t>
  </si>
  <si>
    <t>Sum of Downtime_Hours</t>
  </si>
  <si>
    <t>Pit A</t>
  </si>
  <si>
    <t>Day</t>
  </si>
  <si>
    <t>DR003</t>
  </si>
  <si>
    <t>Breakdown</t>
  </si>
  <si>
    <t>Pit B</t>
  </si>
  <si>
    <t>Night</t>
  </si>
  <si>
    <t>TR009</t>
  </si>
  <si>
    <t>Maintenance</t>
  </si>
  <si>
    <t>Pit C</t>
  </si>
  <si>
    <t>Grand Total</t>
  </si>
  <si>
    <t>TR018</t>
  </si>
  <si>
    <t>Operator Delay</t>
  </si>
  <si>
    <t>TR005</t>
  </si>
  <si>
    <t>Refueling</t>
  </si>
  <si>
    <t>TR020</t>
  </si>
  <si>
    <t>Weather</t>
  </si>
  <si>
    <t>TR011</t>
  </si>
  <si>
    <t>TR010</t>
  </si>
  <si>
    <t>TR003</t>
  </si>
  <si>
    <t>TR012</t>
  </si>
  <si>
    <t>EX003</t>
  </si>
  <si>
    <t>EX002</t>
  </si>
  <si>
    <t>TR007</t>
  </si>
  <si>
    <t>DR001</t>
  </si>
  <si>
    <t>TR013</t>
  </si>
  <si>
    <t>TR017</t>
  </si>
  <si>
    <t>TR014</t>
  </si>
  <si>
    <t>TR004</t>
  </si>
  <si>
    <t>TR015</t>
  </si>
  <si>
    <t>TR008</t>
  </si>
  <si>
    <t>EX005</t>
  </si>
  <si>
    <t>TR001</t>
  </si>
  <si>
    <t>EX001</t>
  </si>
  <si>
    <t>TR019</t>
  </si>
  <si>
    <t>TR006</t>
  </si>
  <si>
    <t>TR016</t>
  </si>
  <si>
    <t>EX004</t>
  </si>
  <si>
    <t>TR002</t>
  </si>
  <si>
    <t>DR002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</si>
</sst>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AEA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customXml" Target="../customXml/item18.xml"/><Relationship Id="rId21" Type="http://schemas.openxmlformats.org/officeDocument/2006/relationships/customXml" Target="../customXml/item17.xml"/><Relationship Id="rId20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5.xml"/><Relationship Id="rId18" Type="http://schemas.openxmlformats.org/officeDocument/2006/relationships/customXml" Target="../customXml/item14.xml"/><Relationship Id="rId17" Type="http://schemas.openxmlformats.org/officeDocument/2006/relationships/customXml" Target="../customXml/item13.xml"/><Relationship Id="rId16" Type="http://schemas.openxmlformats.org/officeDocument/2006/relationships/customXml" Target="../customXml/item12.xml"/><Relationship Id="rId15" Type="http://schemas.openxmlformats.org/officeDocument/2006/relationships/customXml" Target="../customXml/item11.xml"/><Relationship Id="rId14" Type="http://schemas.openxmlformats.org/officeDocument/2006/relationships/customXml" Target="../customXml/item10.xml"/><Relationship Id="rId13" Type="http://schemas.openxmlformats.org/officeDocument/2006/relationships/customXml" Target="../customXml/item9.xml"/><Relationship Id="rId12" Type="http://schemas.openxmlformats.org/officeDocument/2006/relationships/customXml" Target="../customXml/item8.xml"/><Relationship Id="rId11" Type="http://schemas.openxmlformats.org/officeDocument/2006/relationships/customXml" Target="../customXml/item7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Production by Shift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Pivot_Calculations!$F$3</c:f>
              <c:strCache>
                <c:ptCount val="1"/>
                <c:pt idx="0">
                  <c:v>Sum of Ore_Tonnes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Pivot_Calculations!$E$4:$E$6</c:f>
              <c:strCache>
                <c:ptCount val="3"/>
                <c:pt idx="0">
                  <c:v>Day</c:v>
                </c:pt>
                <c:pt idx="1">
                  <c:v>Night</c:v>
                </c:pt>
                <c:pt idx="2">
                  <c:v>Grand Total</c:v>
                </c:pt>
              </c:strCache>
            </c:strRef>
          </c:cat>
          <c:val>
            <c:numRef>
              <c:f>Pivot_Calculations!$F$4:$F$6</c:f>
              <c:numCache>
                <c:formatCode>General</c:formatCode>
                <c:ptCount val="3"/>
                <c:pt idx="0">
                  <c:v>5424573</c:v>
                </c:pt>
                <c:pt idx="1">
                  <c:v>5450679</c:v>
                </c:pt>
                <c:pt idx="2">
                  <c:v>10875252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0583919"/>
        <c:axId val="810582671"/>
      </c:barChart>
      <c:catAx>
        <c:axId val="81058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0582671"/>
        <c:crosses val="autoZero"/>
        <c:auto val="1"/>
        <c:lblAlgn val="ctr"/>
        <c:lblOffset val="100"/>
        <c:noMultiLvlLbl val="0"/>
      </c:catAx>
      <c:valAx>
        <c:axId val="8105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058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35dd7b-bec9-4a6d-8c28-7c3e75bed3c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 baseline="0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Fuel by Equipment</a:t>
            </a:r>
            <a:endParaRPr lang="en-US" baseline="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Pivot_Calculations!$I$3</c:f>
              <c:strCache>
                <c:ptCount val="1"/>
                <c:pt idx="0">
                  <c:v>Sum of Fuel_Litres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Pivot_Calculations!$H$4:$H$32</c:f>
              <c:strCache>
                <c:ptCount val="29"/>
                <c:pt idx="0">
                  <c:v>DR003</c:v>
                </c:pt>
                <c:pt idx="1">
                  <c:v>TR009</c:v>
                </c:pt>
                <c:pt idx="2">
                  <c:v>TR018</c:v>
                </c:pt>
                <c:pt idx="3">
                  <c:v>TR005</c:v>
                </c:pt>
                <c:pt idx="4">
                  <c:v>TR020</c:v>
                </c:pt>
                <c:pt idx="5">
                  <c:v>TR011</c:v>
                </c:pt>
                <c:pt idx="6">
                  <c:v>TR010</c:v>
                </c:pt>
                <c:pt idx="7">
                  <c:v>TR003</c:v>
                </c:pt>
                <c:pt idx="8">
                  <c:v>TR012</c:v>
                </c:pt>
                <c:pt idx="9">
                  <c:v>EX003</c:v>
                </c:pt>
                <c:pt idx="10">
                  <c:v>EX002</c:v>
                </c:pt>
                <c:pt idx="11">
                  <c:v>TR007</c:v>
                </c:pt>
                <c:pt idx="12">
                  <c:v>DR001</c:v>
                </c:pt>
                <c:pt idx="13">
                  <c:v>TR013</c:v>
                </c:pt>
                <c:pt idx="14">
                  <c:v>TR017</c:v>
                </c:pt>
                <c:pt idx="15">
                  <c:v>TR014</c:v>
                </c:pt>
                <c:pt idx="16">
                  <c:v>TR004</c:v>
                </c:pt>
                <c:pt idx="17">
                  <c:v>TR015</c:v>
                </c:pt>
                <c:pt idx="18">
                  <c:v>TR008</c:v>
                </c:pt>
                <c:pt idx="19">
                  <c:v>EX005</c:v>
                </c:pt>
                <c:pt idx="20">
                  <c:v>TR001</c:v>
                </c:pt>
                <c:pt idx="21">
                  <c:v>EX001</c:v>
                </c:pt>
                <c:pt idx="22">
                  <c:v>TR019</c:v>
                </c:pt>
                <c:pt idx="23">
                  <c:v>TR006</c:v>
                </c:pt>
                <c:pt idx="24">
                  <c:v>TR016</c:v>
                </c:pt>
                <c:pt idx="25">
                  <c:v>EX004</c:v>
                </c:pt>
                <c:pt idx="26">
                  <c:v>TR002</c:v>
                </c:pt>
                <c:pt idx="27">
                  <c:v>DR002</c:v>
                </c:pt>
                <c:pt idx="28">
                  <c:v>Grand Total</c:v>
                </c:pt>
              </c:strCache>
            </c:strRef>
          </c:cat>
          <c:val>
            <c:numRef>
              <c:f>Pivot_Calculations!$I$4:$I$32</c:f>
              <c:numCache>
                <c:formatCode>General</c:formatCode>
                <c:ptCount val="29"/>
                <c:pt idx="0">
                  <c:v>188982.7</c:v>
                </c:pt>
                <c:pt idx="1">
                  <c:v>187450.1</c:v>
                </c:pt>
                <c:pt idx="2">
                  <c:v>186423.3</c:v>
                </c:pt>
                <c:pt idx="3">
                  <c:v>184787</c:v>
                </c:pt>
                <c:pt idx="4">
                  <c:v>183550</c:v>
                </c:pt>
                <c:pt idx="5">
                  <c:v>183456.6</c:v>
                </c:pt>
                <c:pt idx="6">
                  <c:v>183181.4</c:v>
                </c:pt>
                <c:pt idx="7">
                  <c:v>182984.8</c:v>
                </c:pt>
                <c:pt idx="8">
                  <c:v>182758.1</c:v>
                </c:pt>
                <c:pt idx="9">
                  <c:v>182757.9</c:v>
                </c:pt>
                <c:pt idx="10">
                  <c:v>182396.9</c:v>
                </c:pt>
                <c:pt idx="11">
                  <c:v>181612</c:v>
                </c:pt>
                <c:pt idx="12">
                  <c:v>180823.3</c:v>
                </c:pt>
                <c:pt idx="13">
                  <c:v>180269.7</c:v>
                </c:pt>
                <c:pt idx="14">
                  <c:v>178823.4</c:v>
                </c:pt>
                <c:pt idx="15">
                  <c:v>178584.8</c:v>
                </c:pt>
                <c:pt idx="16">
                  <c:v>177923.1</c:v>
                </c:pt>
                <c:pt idx="17">
                  <c:v>177620.5</c:v>
                </c:pt>
                <c:pt idx="18">
                  <c:v>177491.4</c:v>
                </c:pt>
                <c:pt idx="19">
                  <c:v>177012.4</c:v>
                </c:pt>
                <c:pt idx="20">
                  <c:v>176791.4</c:v>
                </c:pt>
                <c:pt idx="21">
                  <c:v>176322.6</c:v>
                </c:pt>
                <c:pt idx="22">
                  <c:v>176240.3</c:v>
                </c:pt>
                <c:pt idx="23">
                  <c:v>175507.5</c:v>
                </c:pt>
                <c:pt idx="24">
                  <c:v>174595</c:v>
                </c:pt>
                <c:pt idx="25">
                  <c:v>172625.9</c:v>
                </c:pt>
                <c:pt idx="26">
                  <c:v>170387.1</c:v>
                </c:pt>
                <c:pt idx="27">
                  <c:v>169838.3</c:v>
                </c:pt>
                <c:pt idx="28">
                  <c:v>5031197.5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5581471"/>
        <c:axId val="2073322287"/>
      </c:barChart>
      <c:catAx>
        <c:axId val="193558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073322287"/>
        <c:crosses val="autoZero"/>
        <c:auto val="1"/>
        <c:lblAlgn val="ctr"/>
        <c:lblOffset val="100"/>
        <c:noMultiLvlLbl val="0"/>
      </c:catAx>
      <c:valAx>
        <c:axId val="207332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93558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083f2c-3a85-45db-bb2f-289db7157c0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Downtime by Reason</a:t>
            </a:r>
            <a:endParaRPr lang="en-US" sz="1600" b="1"/>
          </a:p>
        </c:rich>
      </c:tx>
      <c:layout>
        <c:manualLayout>
          <c:xMode val="edge"/>
          <c:yMode val="edge"/>
          <c:x val="0.27284138155297"/>
          <c:y val="0.114720145836262"/>
        </c:manualLayout>
      </c:layout>
      <c:overlay val="0"/>
      <c:spPr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70479331676461"/>
          <c:y val="0.299811207234841"/>
          <c:w val="0.285561207503929"/>
          <c:h val="0.615348414974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Pivot_Calculations!$L$3</c:f>
              <c:strCache>
                <c:ptCount val="1"/>
                <c:pt idx="0">
                  <c:v>Sum of Downtime_Hours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Pivot_Calculations!$K$4:$K$9</c:f>
              <c:strCache>
                <c:ptCount val="6"/>
                <c:pt idx="0">
                  <c:v>Breakdown</c:v>
                </c:pt>
                <c:pt idx="1">
                  <c:v>Maintenance</c:v>
                </c:pt>
                <c:pt idx="2">
                  <c:v>Operator Delay</c:v>
                </c:pt>
                <c:pt idx="3">
                  <c:v>Refueling</c:v>
                </c:pt>
                <c:pt idx="4">
                  <c:v>Weather</c:v>
                </c:pt>
                <c:pt idx="5">
                  <c:v>Grand Total</c:v>
                </c:pt>
              </c:strCache>
            </c:strRef>
          </c:cat>
          <c:val>
            <c:numRef>
              <c:f>Pivot_Calculations!$L$4:$L$9</c:f>
              <c:numCache>
                <c:formatCode>General</c:formatCode>
                <c:ptCount val="6"/>
                <c:pt idx="0">
                  <c:v>5844</c:v>
                </c:pt>
                <c:pt idx="1">
                  <c:v>5777.80000000001</c:v>
                </c:pt>
                <c:pt idx="2">
                  <c:v>6243</c:v>
                </c:pt>
                <c:pt idx="3">
                  <c:v>6215</c:v>
                </c:pt>
                <c:pt idx="4">
                  <c:v>6233.59999999999</c:v>
                </c:pt>
                <c:pt idx="5">
                  <c:v>30313.4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103055"/>
        <c:axId val="817120943"/>
      </c:barChart>
      <c:catAx>
        <c:axId val="81710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7120943"/>
        <c:crosses val="autoZero"/>
        <c:auto val="1"/>
        <c:lblAlgn val="ctr"/>
        <c:lblOffset val="100"/>
        <c:noMultiLvlLbl val="0"/>
      </c:catAx>
      <c:valAx>
        <c:axId val="81712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71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b04478-78a9-42f0-b8dd-64e806cb61eb}"/>
      </c:ext>
    </c:extLst>
  </c:chart>
  <c:spPr>
    <a:gradFill>
      <a:gsLst>
        <a:gs pos="0">
          <a:schemeClr val="tx1"/>
        </a:gs>
        <a:gs pos="74000">
          <a:schemeClr val="tx1">
            <a:lumMod val="85000"/>
            <a:lumOff val="15000"/>
          </a:schemeClr>
        </a:gs>
        <a:gs pos="83000">
          <a:schemeClr val="tx1"/>
        </a:gs>
        <a:gs pos="80000">
          <a:schemeClr val="bg2">
            <a:lumMod val="5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Production by Pit</a:t>
            </a:r>
            <a:endParaRPr lang="en-US" baseline="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Pivot_Calculations!$C$3</c:f>
              <c:strCache>
                <c:ptCount val="1"/>
                <c:pt idx="0">
                  <c:v>Sum of Ore_Tonnes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Pivot_Calculations!$B$4:$B$7</c:f>
              <c:strCache>
                <c:ptCount val="4"/>
                <c:pt idx="0">
                  <c:v>Pit A</c:v>
                </c:pt>
                <c:pt idx="1">
                  <c:v>Pit B</c:v>
                </c:pt>
                <c:pt idx="2">
                  <c:v>Pit C</c:v>
                </c:pt>
                <c:pt idx="3">
                  <c:v>Grand Total</c:v>
                </c:pt>
              </c:strCache>
            </c:strRef>
          </c:cat>
          <c:val>
            <c:numRef>
              <c:f>Pivot_Calculations!$C$4:$C$7</c:f>
              <c:numCache>
                <c:formatCode>General</c:formatCode>
                <c:ptCount val="4"/>
                <c:pt idx="0">
                  <c:v>3632434</c:v>
                </c:pt>
                <c:pt idx="1">
                  <c:v>3627440</c:v>
                </c:pt>
                <c:pt idx="2">
                  <c:v>3615378</c:v>
                </c:pt>
                <c:pt idx="3">
                  <c:v>10875252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11864b-0df9-449a-8706-25151930e2e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0</xdr:row>
      <xdr:rowOff>161925</xdr:rowOff>
    </xdr:from>
    <xdr:to>
      <xdr:col>5</xdr:col>
      <xdr:colOff>438150</xdr:colOff>
      <xdr:row>5</xdr:row>
      <xdr:rowOff>152400</xdr:rowOff>
    </xdr:to>
    <xdr:sp textlink="Pivot_Calculations!$C$7">
      <xdr:nvSpPr>
        <xdr:cNvPr id="2" name="Rounded Rectangle 1"/>
        <xdr:cNvSpPr/>
      </xdr:nvSpPr>
      <xdr:spPr>
        <a:xfrm>
          <a:off x="266700" y="161925"/>
          <a:ext cx="3219450" cy="9429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D3C3836-7EE8-4AB2-BBD2-0BE4E9D9B47E}" type="TxLink">
            <a:rPr lang="en-US" sz="20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10875252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390525</xdr:colOff>
      <xdr:row>1</xdr:row>
      <xdr:rowOff>9525</xdr:rowOff>
    </xdr:from>
    <xdr:to>
      <xdr:col>13</xdr:col>
      <xdr:colOff>66675</xdr:colOff>
      <xdr:row>6</xdr:row>
      <xdr:rowOff>9525</xdr:rowOff>
    </xdr:to>
    <xdr:sp textlink="Pivot_Calculations!$I$32">
      <xdr:nvSpPr>
        <xdr:cNvPr id="3" name="Rounded Rectangle 2"/>
        <xdr:cNvSpPr/>
      </xdr:nvSpPr>
      <xdr:spPr>
        <a:xfrm>
          <a:off x="4048125" y="200025"/>
          <a:ext cx="3943350" cy="952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4311E6E-412D-4B36-972D-A364BE3A37A0}" type="TxLink">
            <a:rPr lang="en-US" sz="2000" b="1" i="0" u="none" strike="noStrike" cap="none" spc="0">
              <a:ln w="0"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/>
              <a:ea typeface="Calibri" panose="020F0502020204030204"/>
              <a:cs typeface="Calibri" panose="020F0502020204030204"/>
            </a:rPr>
            <a:t>5031198</a:t>
          </a:fld>
          <a:endParaRPr lang="en-ZA" sz="2000" b="1" cap="none" spc="0">
            <a:ln w="0">
              <a:noFill/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57150</xdr:colOff>
      <xdr:row>1</xdr:row>
      <xdr:rowOff>66675</xdr:rowOff>
    </xdr:from>
    <xdr:to>
      <xdr:col>20</xdr:col>
      <xdr:colOff>191135</xdr:colOff>
      <xdr:row>5</xdr:row>
      <xdr:rowOff>29210</xdr:rowOff>
    </xdr:to>
    <xdr:sp textlink="Pivot_Calculations!$L$9">
      <xdr:nvSpPr>
        <xdr:cNvPr id="6" name="Rounded Rectangle 5"/>
        <xdr:cNvSpPr/>
      </xdr:nvSpPr>
      <xdr:spPr>
        <a:xfrm>
          <a:off x="8591550" y="257175"/>
          <a:ext cx="3791585" cy="72453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CE671B50-57B8-406C-ADBA-F2FCCEC8E028}" type="TxLink">
            <a:rPr lang="en-US" sz="20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/>
              <a:ea typeface="Calibri" panose="020F0502020204030204"/>
              <a:cs typeface="Calibri" panose="020F0502020204030204"/>
            </a:rPr>
            <a:t>30313,4</a:t>
          </a:fld>
          <a:endParaRPr lang="en-ZA" sz="20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523875</xdr:colOff>
      <xdr:row>7</xdr:row>
      <xdr:rowOff>104775</xdr:rowOff>
    </xdr:from>
    <xdr:to>
      <xdr:col>9</xdr:col>
      <xdr:colOff>314325</xdr:colOff>
      <xdr:row>21</xdr:row>
      <xdr:rowOff>180975</xdr:rowOff>
    </xdr:to>
    <xdr:graphicFrame>
      <xdr:nvGraphicFramePr>
        <xdr:cNvPr id="8" name="Chart 7"/>
        <xdr:cNvGraphicFramePr/>
      </xdr:nvGraphicFramePr>
      <xdr:xfrm>
        <a:off x="2962275" y="1438275"/>
        <a:ext cx="28384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447674</xdr:colOff>
      <xdr:row>7</xdr:row>
      <xdr:rowOff>95249</xdr:rowOff>
    </xdr:from>
    <xdr:to>
      <xdr:col>14</xdr:col>
      <xdr:colOff>514349</xdr:colOff>
      <xdr:row>21</xdr:row>
      <xdr:rowOff>161925</xdr:rowOff>
    </xdr:to>
    <xdr:graphicFrame>
      <xdr:nvGraphicFramePr>
        <xdr:cNvPr id="10" name="Chart 9"/>
        <xdr:cNvGraphicFramePr/>
      </xdr:nvGraphicFramePr>
      <xdr:xfrm>
        <a:off x="5933440" y="1428115"/>
        <a:ext cx="3114675" cy="273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</xdr:colOff>
      <xdr:row>7</xdr:row>
      <xdr:rowOff>85725</xdr:rowOff>
    </xdr:from>
    <xdr:to>
      <xdr:col>20</xdr:col>
      <xdr:colOff>228600</xdr:colOff>
      <xdr:row>21</xdr:row>
      <xdr:rowOff>142876</xdr:rowOff>
    </xdr:to>
    <xdr:graphicFrame>
      <xdr:nvGraphicFramePr>
        <xdr:cNvPr id="11" name="Chart 10"/>
        <xdr:cNvGraphicFramePr/>
      </xdr:nvGraphicFramePr>
      <xdr:xfrm>
        <a:off x="9191625" y="1419225"/>
        <a:ext cx="322897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104776</xdr:colOff>
      <xdr:row>7</xdr:row>
      <xdr:rowOff>114300</xdr:rowOff>
    </xdr:from>
    <xdr:to>
      <xdr:col>4</xdr:col>
      <xdr:colOff>352426</xdr:colOff>
      <xdr:row>22</xdr:row>
      <xdr:rowOff>0</xdr:rowOff>
    </xdr:to>
    <xdr:graphicFrame>
      <xdr:nvGraphicFramePr>
        <xdr:cNvPr id="14" name="Chart 13"/>
        <xdr:cNvGraphicFramePr/>
      </xdr:nvGraphicFramePr>
      <xdr:xfrm>
        <a:off x="104775" y="1447800"/>
        <a:ext cx="2686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1</xdr:row>
      <xdr:rowOff>57150</xdr:rowOff>
    </xdr:from>
    <xdr:to>
      <xdr:col>4</xdr:col>
      <xdr:colOff>581025</xdr:colOff>
      <xdr:row>2</xdr:row>
      <xdr:rowOff>133350</xdr:rowOff>
    </xdr:to>
    <xdr:sp>
      <xdr:nvSpPr>
        <xdr:cNvPr id="4" name="TextBox 3"/>
        <xdr:cNvSpPr txBox="1"/>
      </xdr:nvSpPr>
      <xdr:spPr>
        <a:xfrm>
          <a:off x="647700" y="247650"/>
          <a:ext cx="23717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200" b="1">
              <a:solidFill>
                <a:schemeClr val="bg1"/>
              </a:solidFill>
            </a:rPr>
            <a:t>TOTAL ORE PRODUCED (TONNES)</a:t>
          </a:r>
          <a:endParaRPr lang="en-ZA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47625</xdr:colOff>
      <xdr:row>1</xdr:row>
      <xdr:rowOff>123825</xdr:rowOff>
    </xdr:from>
    <xdr:to>
      <xdr:col>12</xdr:col>
      <xdr:colOff>457200</xdr:colOff>
      <xdr:row>3</xdr:row>
      <xdr:rowOff>0</xdr:rowOff>
    </xdr:to>
    <xdr:sp>
      <xdr:nvSpPr>
        <xdr:cNvPr id="5" name="TextBox 4"/>
        <xdr:cNvSpPr txBox="1"/>
      </xdr:nvSpPr>
      <xdr:spPr>
        <a:xfrm>
          <a:off x="4314825" y="314325"/>
          <a:ext cx="34575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200" b="1">
              <a:solidFill>
                <a:schemeClr val="bg1"/>
              </a:solidFill>
            </a:rPr>
            <a:t>TOTAL FUEL CONSUMED (LITRES)</a:t>
          </a:r>
          <a:endParaRPr lang="en-ZA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209550</xdr:colOff>
      <xdr:row>1</xdr:row>
      <xdr:rowOff>57785</xdr:rowOff>
    </xdr:from>
    <xdr:to>
      <xdr:col>20</xdr:col>
      <xdr:colOff>152400</xdr:colOff>
      <xdr:row>2</xdr:row>
      <xdr:rowOff>104775</xdr:rowOff>
    </xdr:to>
    <xdr:sp>
      <xdr:nvSpPr>
        <xdr:cNvPr id="7" name="TextBox 6"/>
        <xdr:cNvSpPr txBox="1"/>
      </xdr:nvSpPr>
      <xdr:spPr>
        <a:xfrm>
          <a:off x="8743950" y="248285"/>
          <a:ext cx="3600450" cy="237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200" b="1">
              <a:solidFill>
                <a:schemeClr val="bg1"/>
              </a:solidFill>
            </a:rPr>
            <a:t>TOTAL DOWNTIME(HOURS)</a:t>
          </a:r>
          <a:endParaRPr lang="en-ZA" sz="12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32"/>
  <sheetViews>
    <sheetView zoomScale="85" zoomScaleNormal="85" workbookViewId="0">
      <selection activeCell="L18" sqref="L18"/>
    </sheetView>
  </sheetViews>
  <sheetFormatPr defaultColWidth="9" defaultRowHeight="15"/>
  <cols>
    <col min="2" max="2" width="13.1428571428571" customWidth="1"/>
    <col min="3" max="3" width="18.5714285714286" customWidth="1"/>
    <col min="5" max="5" width="13.1428571428571" customWidth="1"/>
    <col min="6" max="6" width="18.5714285714286" customWidth="1"/>
    <col min="8" max="8" width="13.1428571428571" customWidth="1"/>
    <col min="9" max="9" width="17.5714285714286" customWidth="1"/>
    <col min="11" max="11" width="14.5714285714286" customWidth="1"/>
    <col min="12" max="12" width="23.4285714285714" customWidth="1"/>
  </cols>
  <sheetData>
    <row r="3" spans="2:12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2</v>
      </c>
      <c r="K3" t="s">
        <v>0</v>
      </c>
      <c r="L3" t="s">
        <v>3</v>
      </c>
    </row>
    <row r="4" spans="2:12">
      <c r="B4" s="2" t="s">
        <v>4</v>
      </c>
      <c r="C4" s="3">
        <v>3632434</v>
      </c>
      <c r="E4" s="2" t="s">
        <v>5</v>
      </c>
      <c r="F4" s="3">
        <v>5424573</v>
      </c>
      <c r="H4" s="2" t="s">
        <v>6</v>
      </c>
      <c r="I4" s="3">
        <v>188982.7</v>
      </c>
      <c r="K4" s="2" t="s">
        <v>7</v>
      </c>
      <c r="L4" s="3">
        <v>5844</v>
      </c>
    </row>
    <row r="5" spans="2:12">
      <c r="B5" s="2" t="s">
        <v>8</v>
      </c>
      <c r="C5" s="3">
        <v>3627440</v>
      </c>
      <c r="E5" s="2" t="s">
        <v>9</v>
      </c>
      <c r="F5" s="3">
        <v>5450679</v>
      </c>
      <c r="H5" s="2" t="s">
        <v>10</v>
      </c>
      <c r="I5" s="3">
        <v>187450.1</v>
      </c>
      <c r="K5" s="2" t="s">
        <v>11</v>
      </c>
      <c r="L5" s="3">
        <v>5777.80000000001</v>
      </c>
    </row>
    <row r="6" spans="2:12">
      <c r="B6" s="2" t="s">
        <v>12</v>
      </c>
      <c r="C6" s="3">
        <v>3615378</v>
      </c>
      <c r="E6" s="2" t="s">
        <v>13</v>
      </c>
      <c r="F6" s="3">
        <v>10875252</v>
      </c>
      <c r="H6" s="2" t="s">
        <v>14</v>
      </c>
      <c r="I6" s="3">
        <v>186423.3</v>
      </c>
      <c r="K6" s="2" t="s">
        <v>15</v>
      </c>
      <c r="L6" s="3">
        <v>6243</v>
      </c>
    </row>
    <row r="7" spans="2:12">
      <c r="B7" s="2" t="s">
        <v>13</v>
      </c>
      <c r="C7" s="3">
        <v>10875252</v>
      </c>
      <c r="H7" s="2" t="s">
        <v>16</v>
      </c>
      <c r="I7" s="3">
        <v>184787</v>
      </c>
      <c r="K7" s="2" t="s">
        <v>17</v>
      </c>
      <c r="L7" s="3">
        <v>6215</v>
      </c>
    </row>
    <row r="8" spans="8:12">
      <c r="H8" s="2" t="s">
        <v>18</v>
      </c>
      <c r="I8" s="3">
        <v>183550</v>
      </c>
      <c r="K8" s="2" t="s">
        <v>19</v>
      </c>
      <c r="L8" s="3">
        <v>6233.59999999999</v>
      </c>
    </row>
    <row r="9" spans="8:12">
      <c r="H9" s="2" t="s">
        <v>20</v>
      </c>
      <c r="I9" s="3">
        <v>183456.6</v>
      </c>
      <c r="K9" s="2" t="s">
        <v>13</v>
      </c>
      <c r="L9" s="3">
        <v>30313.4</v>
      </c>
    </row>
    <row r="10" spans="8:9">
      <c r="H10" s="2" t="s">
        <v>21</v>
      </c>
      <c r="I10" s="3">
        <v>183181.4</v>
      </c>
    </row>
    <row r="11" spans="8:9">
      <c r="H11" s="2" t="s">
        <v>22</v>
      </c>
      <c r="I11" s="3">
        <v>182984.8</v>
      </c>
    </row>
    <row r="12" spans="8:9">
      <c r="H12" s="2" t="s">
        <v>23</v>
      </c>
      <c r="I12" s="3">
        <v>182758.1</v>
      </c>
    </row>
    <row r="13" spans="8:9">
      <c r="H13" s="2" t="s">
        <v>24</v>
      </c>
      <c r="I13" s="3">
        <v>182757.9</v>
      </c>
    </row>
    <row r="14" spans="8:9">
      <c r="H14" s="2" t="s">
        <v>25</v>
      </c>
      <c r="I14" s="3">
        <v>182396.9</v>
      </c>
    </row>
    <row r="15" spans="8:9">
      <c r="H15" s="2" t="s">
        <v>26</v>
      </c>
      <c r="I15" s="3">
        <v>181612</v>
      </c>
    </row>
    <row r="16" spans="8:9">
      <c r="H16" s="2" t="s">
        <v>27</v>
      </c>
      <c r="I16" s="3">
        <v>180823.3</v>
      </c>
    </row>
    <row r="17" spans="8:9">
      <c r="H17" s="2" t="s">
        <v>28</v>
      </c>
      <c r="I17" s="3">
        <v>180269.7</v>
      </c>
    </row>
    <row r="18" spans="8:9">
      <c r="H18" s="2" t="s">
        <v>29</v>
      </c>
      <c r="I18" s="3">
        <v>178823.4</v>
      </c>
    </row>
    <row r="19" spans="8:9">
      <c r="H19" s="2" t="s">
        <v>30</v>
      </c>
      <c r="I19" s="3">
        <v>178584.8</v>
      </c>
    </row>
    <row r="20" spans="8:9">
      <c r="H20" s="2" t="s">
        <v>31</v>
      </c>
      <c r="I20" s="3">
        <v>177923.1</v>
      </c>
    </row>
    <row r="21" spans="8:9">
      <c r="H21" s="2" t="s">
        <v>32</v>
      </c>
      <c r="I21" s="3">
        <v>177620.5</v>
      </c>
    </row>
    <row r="22" spans="8:9">
      <c r="H22" s="2" t="s">
        <v>33</v>
      </c>
      <c r="I22" s="3">
        <v>177491.4</v>
      </c>
    </row>
    <row r="23" spans="8:9">
      <c r="H23" s="2" t="s">
        <v>34</v>
      </c>
      <c r="I23" s="3">
        <v>177012.4</v>
      </c>
    </row>
    <row r="24" spans="8:9">
      <c r="H24" s="2" t="s">
        <v>35</v>
      </c>
      <c r="I24" s="3">
        <v>176791.4</v>
      </c>
    </row>
    <row r="25" spans="8:9">
      <c r="H25" s="2" t="s">
        <v>36</v>
      </c>
      <c r="I25" s="3">
        <v>176322.6</v>
      </c>
    </row>
    <row r="26" spans="8:9">
      <c r="H26" s="2" t="s">
        <v>37</v>
      </c>
      <c r="I26" s="3">
        <v>176240.3</v>
      </c>
    </row>
    <row r="27" spans="8:9">
      <c r="H27" s="2" t="s">
        <v>38</v>
      </c>
      <c r="I27" s="3">
        <v>175507.5</v>
      </c>
    </row>
    <row r="28" spans="8:9">
      <c r="H28" s="2" t="s">
        <v>39</v>
      </c>
      <c r="I28" s="3">
        <v>174595</v>
      </c>
    </row>
    <row r="29" spans="8:9">
      <c r="H29" s="2" t="s">
        <v>40</v>
      </c>
      <c r="I29" s="3">
        <v>172625.9</v>
      </c>
    </row>
    <row r="30" spans="8:9">
      <c r="H30" s="2" t="s">
        <v>41</v>
      </c>
      <c r="I30" s="3">
        <v>170387.1</v>
      </c>
    </row>
    <row r="31" spans="8:9">
      <c r="H31" s="2" t="s">
        <v>42</v>
      </c>
      <c r="I31" s="3">
        <v>169838.3</v>
      </c>
    </row>
    <row r="32" spans="8:9">
      <c r="H32" s="2" t="s">
        <v>13</v>
      </c>
      <c r="I32" s="3">
        <v>5031197.5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4" zoomScaleNormal="54" workbookViewId="0">
      <selection activeCell="W9" sqref="W9"/>
    </sheetView>
  </sheetViews>
  <sheetFormatPr defaultColWidth="9" defaultRowHeight="15"/>
  <cols>
    <col min="1" max="16384" width="9.14285714285714" style="1"/>
  </cols>
  <sheetData/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CB7C29F-3043-4D8B-84E1-A067A5814823}">
  <ds:schemaRefs/>
</ds:datastoreItem>
</file>

<file path=customXml/itemProps2.xml><?xml version="1.0" encoding="utf-8"?>
<ds:datastoreItem xmlns:ds="http://schemas.openxmlformats.org/officeDocument/2006/customXml" ds:itemID="{116FAC50-1620-4063-BDDB-28382AB9D10A}">
  <ds:schemaRefs/>
</ds:datastoreItem>
</file>

<file path=customXml/itemProps3.xml><?xml version="1.0" encoding="utf-8"?>
<ds:datastoreItem xmlns:ds="http://schemas.openxmlformats.org/officeDocument/2006/customXml" ds:itemID="{4F12AEB3-EE6C-47C0-9621-48053038E357}">
  <ds:schemaRefs/>
</ds:datastoreItem>
</file>

<file path=customXml/itemProps4.xml><?xml version="1.0" encoding="utf-8"?>
<ds:datastoreItem xmlns:ds="http://schemas.openxmlformats.org/officeDocument/2006/customXml" ds:itemID="{C9534D27-4E79-49B7-B5EE-DD7C3AF4FFBE}">
  <ds:schemaRefs/>
</ds:datastoreItem>
</file>

<file path=customXml/itemProps5.xml><?xml version="1.0" encoding="utf-8"?>
<ds:datastoreItem xmlns:ds="http://schemas.openxmlformats.org/officeDocument/2006/customXml" ds:itemID="{086FC17B-D791-41C8-B208-C5EBB0E8FDCC}">
  <ds:schemaRefs/>
</ds:datastoreItem>
</file>

<file path=customXml/itemProps6.xml><?xml version="1.0" encoding="utf-8"?>
<ds:datastoreItem xmlns:ds="http://schemas.openxmlformats.org/officeDocument/2006/customXml" ds:itemID="{B89D4D4A-1668-46A6-BD94-9C4DEF526D65}">
  <ds:schemaRefs/>
</ds:datastoreItem>
</file>

<file path=customXml/itemProps7.xml><?xml version="1.0" encoding="utf-8"?>
<ds:datastoreItem xmlns:ds="http://schemas.openxmlformats.org/officeDocument/2006/customXml" ds:itemID="{BDD903CF-50D8-4EEC-A972-8C810DD985ED}">
  <ds:schemaRefs/>
</ds:datastoreItem>
</file>

<file path=customXml/itemProps8.xml><?xml version="1.0" encoding="utf-8"?>
<ds:datastoreItem xmlns:ds="http://schemas.openxmlformats.org/officeDocument/2006/customXml" ds:itemID="{1D906AA8-50B6-4EF2-A9FD-61B15E4E4D6F}">
  <ds:schemaRefs/>
</ds:datastoreItem>
</file>

<file path=customXml/itemProps9.xml><?xml version="1.0" encoding="utf-8"?>
<ds:datastoreItem xmlns:ds="http://schemas.openxmlformats.org/officeDocument/2006/customXml" ds:itemID="{760B93A4-EBA2-4308-AD72-44B968847ECA}">
  <ds:schemaRefs/>
</ds:datastoreItem>
</file>

<file path=customXml/itemProps10.xml><?xml version="1.0" encoding="utf-8"?>
<ds:datastoreItem xmlns:ds="http://schemas.openxmlformats.org/officeDocument/2006/customXml" ds:itemID="{64BDF3B6-05A6-45FF-83C7-242200F1A90C}">
  <ds:schemaRefs/>
</ds:datastoreItem>
</file>

<file path=customXml/itemProps11.xml><?xml version="1.0" encoding="utf-8"?>
<ds:datastoreItem xmlns:ds="http://schemas.openxmlformats.org/officeDocument/2006/customXml" ds:itemID="{228525A3-7D9C-4DB4-A840-2E558F82608B}">
  <ds:schemaRefs/>
</ds:datastoreItem>
</file>

<file path=customXml/itemProps12.xml><?xml version="1.0" encoding="utf-8"?>
<ds:datastoreItem xmlns:ds="http://schemas.openxmlformats.org/officeDocument/2006/customXml" ds:itemID="{AB01727D-F661-4F70-B7ED-B9530835749C}">
  <ds:schemaRefs/>
</ds:datastoreItem>
</file>

<file path=customXml/itemProps13.xml><?xml version="1.0" encoding="utf-8"?>
<ds:datastoreItem xmlns:ds="http://schemas.openxmlformats.org/officeDocument/2006/customXml" ds:itemID="{1622853D-1C40-413D-A1C7-EBCAB4B2B514}">
  <ds:schemaRefs/>
</ds:datastoreItem>
</file>

<file path=customXml/itemProps14.xml><?xml version="1.0" encoding="utf-8"?>
<ds:datastoreItem xmlns:ds="http://schemas.openxmlformats.org/officeDocument/2006/customXml" ds:itemID="{AD823FA4-00E4-46A6-84D7-BDE2201DA052}">
  <ds:schemaRefs/>
</ds:datastoreItem>
</file>

<file path=customXml/itemProps15.xml><?xml version="1.0" encoding="utf-8"?>
<ds:datastoreItem xmlns:ds="http://schemas.openxmlformats.org/officeDocument/2006/customXml" ds:itemID="{FB85C005-470A-4162-873C-7286B370E207}">
  <ds:schemaRefs/>
</ds:datastoreItem>
</file>

<file path=customXml/itemProps16.xml><?xml version="1.0" encoding="utf-8"?>
<ds:datastoreItem xmlns:ds="http://schemas.openxmlformats.org/officeDocument/2006/customXml" ds:itemID="{C3C1A699-2D55-4552-BA74-2D5CA2E32D7E}">
  <ds:schemaRefs/>
</ds:datastoreItem>
</file>

<file path=customXml/itemProps17.xml><?xml version="1.0" encoding="utf-8"?>
<ds:datastoreItem xmlns:ds="http://schemas.openxmlformats.org/officeDocument/2006/customXml" ds:itemID="{18CA91AD-7E9C-454F-B5BC-52C704C9C310}">
  <ds:schemaRefs/>
</ds:datastoreItem>
</file>

<file path=customXml/itemProps18.xml><?xml version="1.0" encoding="utf-8"?>
<ds:datastoreItem xmlns:ds="http://schemas.openxmlformats.org/officeDocument/2006/customXml" ds:itemID="{C91DB994-F43D-4300-84A1-79E4D9FEA7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Pivot_Calculations</vt:lpstr>
      <vt:lpstr>Executive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Fundieh</dc:creator>
  <cp:lastModifiedBy>Nomathemba Ndimande</cp:lastModifiedBy>
  <dcterms:created xsi:type="dcterms:W3CDTF">2026-06-06T19:37:00Z</dcterms:created>
  <dcterms:modified xsi:type="dcterms:W3CDTF">2026-07-23T17:04:04Z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2DFECDCC871040CDA358A15CAC7C61EF_12</vt:lpwstr>
  </property>
  <property fmtid="{D5CDD505-2E9C-101B-9397-08002B2CF9AE}" pid="3" name="KSOProductBuildVer">
    <vt:lpwstr>2057-12.2.0.23206</vt:lpwstr>
  </property>
</Properties>
</file>